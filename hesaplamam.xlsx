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ışa Aktarma Özeti" sheetId="1" r:id="rId4"/>
    <sheet name="Özet" sheetId="2" r:id="rId5"/>
    <sheet name="Gider" sheetId="3" r:id="rId6"/>
    <sheet name="Gelir" sheetId="4" r:id="rId7"/>
  </sheets>
</workbook>
</file>

<file path=xl/sharedStrings.xml><?xml version="1.0" encoding="utf-8"?>
<sst xmlns="http://schemas.openxmlformats.org/spreadsheetml/2006/main" uniqueCount="51">
  <si>
    <t>Bu belge Numbers’dan dışa aktarıldı. Her bir tablo Excel çalışma sayfasına dönüştürüldü. Her bir Numbers sayfasındaki diğer tüm nesneler ayrı çalışma sayfalarına yerleştirildi. Lütfen formül hesaplamalarının Excel’de farklı olabileceğini unutmayın.</t>
  </si>
  <si>
    <t>Numbers Sayfası Adı</t>
  </si>
  <si>
    <t>Numbers Tablosu Adı</t>
  </si>
  <si>
    <t>Excel Çalışma Sayfası Adı</t>
  </si>
  <si>
    <t>Özet</t>
  </si>
  <si>
    <t>Tablo 1</t>
  </si>
  <si>
    <t xml:space="preserve"> 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</si>
  <si>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</si>
  <si>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</si>
  <si>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</si>
  <si>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</si>
  <si>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</si>
  <si>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</si>
  <si>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</si>
  <si>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</si>
  <si>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Toplam Gelir</t>
  </si>
  <si>
    <t>Toplam Gider</t>
  </si>
  <si>
    <t>Önceki Aydan Devir</t>
  </si>
  <si>
    <t>Devirsiz Net</t>
  </si>
  <si>
    <t>Net</t>
  </si>
  <si>
    <t>Gider</t>
  </si>
  <si>
    <t>Gider Kalemleri</t>
  </si>
  <si>
    <t>Ekim</t>
  </si>
  <si>
    <t>Kasım</t>
  </si>
  <si>
    <t>Aralık</t>
  </si>
  <si>
    <t>Kira</t>
  </si>
  <si>
    <t>QNB Kart Borcu</t>
  </si>
  <si>
    <t>QNB Nakit Avans</t>
  </si>
  <si>
    <t>Ev Alışverişi</t>
  </si>
  <si>
    <t>Ulaşım</t>
  </si>
  <si>
    <t>Keyfi Harcama</t>
  </si>
  <si>
    <t>Sema</t>
  </si>
  <si>
    <t xml:space="preserve">Reklam </t>
  </si>
  <si>
    <t>Faturalar</t>
  </si>
  <si>
    <t>İcra taksit</t>
  </si>
  <si>
    <t>emre abi</t>
  </si>
  <si>
    <t>Toplam</t>
  </si>
  <si>
    <t>Gelir</t>
  </si>
  <si>
    <t>Gelir Kalemleri</t>
  </si>
  <si>
    <t>ort</t>
  </si>
  <si>
    <t>Ek iş</t>
  </si>
  <si>
    <t>Nakit</t>
  </si>
  <si>
    <t>Gamze Ablalar</t>
  </si>
  <si>
    <t>Emre Abi</t>
  </si>
  <si>
    <t>Metropol Kart</t>
  </si>
  <si>
    <t>Reklam</t>
  </si>
  <si>
    <t>Ulaşım masraf</t>
  </si>
  <si>
    <t xml:space="preserve">Muharrem </t>
  </si>
  <si>
    <t>patent</t>
  </si>
  <si>
    <t>altın</t>
  </si>
  <si>
    <t>Merve Abla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</si>
</sst>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&quot; &quot;[$TL-41F]"/>
  </numFmts>
  <fonts count="7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20</v>
      </c>
      <c r="C11" s="3"/>
      <c r="D11" s="3"/>
    </row>
    <row r="12">
      <c r="B12" s="4"/>
      <c r="C12" t="s" s="4">
        <v>5</v>
      </c>
      <c r="D12" t="s" s="5">
        <v>20</v>
      </c>
    </row>
    <row r="13">
      <c r="B13" t="s" s="3">
        <v>37</v>
      </c>
      <c r="C13" s="3"/>
      <c r="D13" s="3"/>
    </row>
    <row r="14">
      <c r="B14" s="4"/>
      <c r="C14" t="s" s="4">
        <v>5</v>
      </c>
      <c r="D14" t="s" s="5">
        <v>37</v>
      </c>
    </row>
  </sheetData>
  <mergeCells count="1">
    <mergeCell ref="B3:D3"/>
  </mergeCells>
  <hyperlinks>
    <hyperlink ref="D10" location="'Özet'!R1C1" tooltip="" display="Özet"/>
    <hyperlink ref="D12" location="'Gider'!R1C1" tooltip="" display="Gider"/>
    <hyperlink ref="D14" location="'Gelir'!R1C1" tooltip="" display="Gelir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3.3516" style="6" customWidth="1"/>
    <col min="2" max="9" width="12.6719" style="6" customWidth="1"/>
    <col min="10" max="16384" width="12.6719" style="6" customWidth="1"/>
  </cols>
  <sheetData>
    <row r="1" ht="13.6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</row>
    <row r="2" ht="13.65" customHeight="1">
      <c r="A2" t="s" s="7">
        <v>15</v>
      </c>
      <c r="B2" s="9">
        <f>'Gelir'!B16</f>
        <v>200000</v>
      </c>
      <c r="C2" s="9">
        <f>'Gelir'!C16</f>
        <v>88000</v>
      </c>
      <c r="D2" s="9">
        <f>'Gelir'!D16</f>
        <v>139000</v>
      </c>
      <c r="E2" s="9">
        <f>'Gelir'!E16</f>
        <v>149000</v>
      </c>
      <c r="F2" s="9">
        <f>'Gelir'!F16</f>
        <v>134000</v>
      </c>
      <c r="G2" s="9">
        <f>'Gelir'!G16</f>
        <v>134000</v>
      </c>
      <c r="H2" s="9">
        <f>'Gelir'!H16</f>
        <v>134000</v>
      </c>
      <c r="I2" s="9">
        <f>'Gelir'!I16</f>
        <v>134000</v>
      </c>
    </row>
    <row r="3" ht="13.65" customHeight="1">
      <c r="A3" t="s" s="7">
        <v>16</v>
      </c>
      <c r="B3" s="9">
        <f>'Gider'!B14</f>
        <v>0</v>
      </c>
      <c r="C3" s="9">
        <f>'Gider'!C14</f>
        <v>50000</v>
      </c>
      <c r="D3" s="9">
        <f>'Gider'!D14</f>
        <v>98000</v>
      </c>
      <c r="E3" s="9">
        <f>'Gider'!E14</f>
        <v>98000</v>
      </c>
      <c r="F3" s="9">
        <f>'Gider'!F14</f>
        <v>98000</v>
      </c>
      <c r="G3" s="9">
        <f>'Gider'!G14</f>
        <v>73000</v>
      </c>
      <c r="H3" s="9">
        <f>'Gider'!H14</f>
        <v>82000</v>
      </c>
      <c r="I3" s="9">
        <f>'Gider'!I14</f>
        <v>82000</v>
      </c>
    </row>
    <row r="4" ht="13.65" customHeight="1">
      <c r="A4" t="s" s="7">
        <v>17</v>
      </c>
      <c r="B4" s="10">
        <v>0</v>
      </c>
      <c r="C4" s="9">
        <f>B6</f>
        <v>200000</v>
      </c>
      <c r="D4" s="9">
        <f>C6</f>
        <v>238000</v>
      </c>
      <c r="E4" s="9">
        <f>D6</f>
        <v>279000</v>
      </c>
      <c r="F4" s="9">
        <f>E6</f>
        <v>330000</v>
      </c>
      <c r="G4" s="9">
        <f>F6</f>
        <v>366000</v>
      </c>
      <c r="H4" s="9">
        <f>G6</f>
        <v>427000</v>
      </c>
      <c r="I4" s="9">
        <f>H6</f>
        <v>479000</v>
      </c>
    </row>
    <row r="5" ht="13.65" customHeight="1">
      <c r="A5" t="s" s="7">
        <v>18</v>
      </c>
      <c r="B5" s="9">
        <f>B2-B3</f>
        <v>200000</v>
      </c>
      <c r="C5" s="9">
        <f>C2-C3</f>
        <v>38000</v>
      </c>
      <c r="D5" s="9">
        <f>D2-D3</f>
        <v>41000</v>
      </c>
      <c r="E5" s="9">
        <f>E2-E3</f>
        <v>51000</v>
      </c>
      <c r="F5" s="9">
        <f>F2-F3</f>
        <v>36000</v>
      </c>
      <c r="G5" s="9">
        <f>G2-G3</f>
        <v>61000</v>
      </c>
      <c r="H5" s="9">
        <f>H2-H3</f>
        <v>52000</v>
      </c>
      <c r="I5" s="9">
        <f>I2-I3</f>
        <v>52000</v>
      </c>
    </row>
    <row r="6" ht="13.65" customHeight="1">
      <c r="A6" t="s" s="7">
        <v>19</v>
      </c>
      <c r="B6" s="9">
        <f>B2-B3+B4</f>
        <v>200000</v>
      </c>
      <c r="C6" s="9">
        <f>C2-C3+C4</f>
        <v>238000</v>
      </c>
      <c r="D6" s="9">
        <f>D2-D3+D4</f>
        <v>279000</v>
      </c>
      <c r="E6" s="9">
        <f>E2-E3+E4</f>
        <v>330000</v>
      </c>
      <c r="F6" s="9">
        <f>F2-F3+F4</f>
        <v>366000</v>
      </c>
      <c r="G6" s="9">
        <f>G2-G3+G4</f>
        <v>427000</v>
      </c>
      <c r="H6" s="9">
        <f>H2-H3+H4</f>
        <v>479000</v>
      </c>
      <c r="I6" s="9">
        <f>I2-I3+I4</f>
        <v>531000</v>
      </c>
    </row>
    <row r="7" ht="13.65" customHeight="1">
      <c r="A7" s="11"/>
      <c r="B7" s="11"/>
      <c r="C7" s="11"/>
      <c r="D7" s="11"/>
      <c r="E7" s="11"/>
      <c r="F7" s="11"/>
      <c r="G7" s="11"/>
      <c r="H7" s="11"/>
      <c r="I7" s="11"/>
    </row>
    <row r="8" ht="13.65" customHeight="1">
      <c r="A8" s="12"/>
      <c r="B8" s="12"/>
      <c r="C8" s="12"/>
      <c r="D8" s="12"/>
      <c r="E8" s="12"/>
      <c r="F8" s="12"/>
      <c r="G8" s="12"/>
      <c r="H8" s="12"/>
      <c r="I8" s="12"/>
    </row>
    <row r="9" ht="13.65" customHeight="1">
      <c r="A9" s="12"/>
      <c r="B9" s="12"/>
      <c r="C9" s="12"/>
      <c r="D9" s="12"/>
      <c r="E9" s="12"/>
      <c r="F9" s="12"/>
      <c r="G9" s="12"/>
      <c r="H9" s="12"/>
      <c r="I9" s="12"/>
    </row>
    <row r="10" ht="13.65" customHeight="1">
      <c r="A10" s="12"/>
      <c r="B10" s="12"/>
      <c r="C10" s="12"/>
      <c r="D10" s="12"/>
      <c r="E10" s="12"/>
      <c r="F10" s="12"/>
      <c r="G10" s="12"/>
      <c r="H10" s="12"/>
      <c r="I10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7.8516" style="13" customWidth="1"/>
    <col min="2" max="12" width="12.6719" style="13" customWidth="1"/>
    <col min="13" max="16384" width="12.6719" style="13" customWidth="1"/>
  </cols>
  <sheetData>
    <row r="1" ht="13.65" customHeight="1">
      <c r="A1" t="s" s="14">
        <v>21</v>
      </c>
      <c r="B1" t="s" s="14">
        <v>7</v>
      </c>
      <c r="C1" t="s" s="14">
        <v>8</v>
      </c>
      <c r="D1" t="s" s="14">
        <v>9</v>
      </c>
      <c r="E1" t="s" s="14">
        <v>10</v>
      </c>
      <c r="F1" t="s" s="14">
        <v>11</v>
      </c>
      <c r="G1" t="s" s="14">
        <v>12</v>
      </c>
      <c r="H1" t="s" s="14">
        <v>13</v>
      </c>
      <c r="I1" t="s" s="14">
        <v>14</v>
      </c>
      <c r="J1" t="s" s="14">
        <v>22</v>
      </c>
      <c r="K1" t="s" s="14">
        <v>23</v>
      </c>
      <c r="L1" t="s" s="14">
        <v>24</v>
      </c>
    </row>
    <row r="2" ht="13.65" customHeight="1">
      <c r="A2" t="s" s="7">
        <v>25</v>
      </c>
      <c r="B2" s="9">
        <v>0</v>
      </c>
      <c r="C2" s="9">
        <v>0</v>
      </c>
      <c r="D2" s="9">
        <v>29000</v>
      </c>
      <c r="E2" s="9">
        <v>29000</v>
      </c>
      <c r="F2" s="9">
        <v>29000</v>
      </c>
      <c r="G2" s="9">
        <v>29000</v>
      </c>
      <c r="H2" s="9">
        <v>38000</v>
      </c>
      <c r="I2" s="9">
        <v>38000</v>
      </c>
      <c r="J2" s="9">
        <v>38000</v>
      </c>
      <c r="K2" s="9">
        <v>38000</v>
      </c>
      <c r="L2" s="9">
        <v>38000</v>
      </c>
    </row>
    <row r="3" ht="13.65" customHeight="1">
      <c r="A3" t="s" s="7">
        <v>26</v>
      </c>
      <c r="B3" s="9"/>
      <c r="C3" s="9">
        <v>25000</v>
      </c>
      <c r="D3" s="9">
        <v>25000</v>
      </c>
      <c r="E3" s="9">
        <v>25000</v>
      </c>
      <c r="F3" s="9">
        <v>25000</v>
      </c>
      <c r="G3" s="9"/>
      <c r="H3" s="9"/>
      <c r="I3" s="9"/>
      <c r="J3" s="15"/>
      <c r="K3" s="15"/>
      <c r="L3" s="15"/>
    </row>
    <row r="4" ht="13.65" customHeight="1">
      <c r="A4" t="s" s="7">
        <v>27</v>
      </c>
      <c r="B4" s="9"/>
      <c r="C4" s="9">
        <v>0</v>
      </c>
      <c r="D4" s="9"/>
      <c r="E4" s="9"/>
      <c r="F4" s="9"/>
      <c r="G4" s="9"/>
      <c r="H4" s="9"/>
      <c r="I4" s="9"/>
      <c r="J4" s="15"/>
      <c r="K4" s="15"/>
      <c r="L4" s="15"/>
    </row>
    <row r="5" ht="13.65" customHeight="1">
      <c r="A5" t="s" s="7">
        <v>28</v>
      </c>
      <c r="B5" s="9"/>
      <c r="C5" s="9">
        <v>15000</v>
      </c>
      <c r="D5" s="9">
        <v>25000</v>
      </c>
      <c r="E5" s="9">
        <v>25000</v>
      </c>
      <c r="F5" s="9">
        <v>25000</v>
      </c>
      <c r="G5" s="9">
        <v>25000</v>
      </c>
      <c r="H5" s="9">
        <v>25000</v>
      </c>
      <c r="I5" s="9">
        <v>25000</v>
      </c>
      <c r="J5" s="9">
        <v>25000</v>
      </c>
      <c r="K5" s="9">
        <v>25000</v>
      </c>
      <c r="L5" s="9">
        <v>25000</v>
      </c>
    </row>
    <row r="6" ht="13.65" customHeight="1">
      <c r="A6" t="s" s="7">
        <v>29</v>
      </c>
      <c r="B6" s="9"/>
      <c r="C6" s="9">
        <v>3000</v>
      </c>
      <c r="D6" s="9">
        <v>3000</v>
      </c>
      <c r="E6" s="9">
        <v>3000</v>
      </c>
      <c r="F6" s="9">
        <v>3000</v>
      </c>
      <c r="G6" s="9">
        <v>3000</v>
      </c>
      <c r="H6" s="9">
        <v>3000</v>
      </c>
      <c r="I6" s="9">
        <v>3000</v>
      </c>
      <c r="J6" s="9">
        <v>3000</v>
      </c>
      <c r="K6" s="9">
        <v>3000</v>
      </c>
      <c r="L6" s="9">
        <v>3000</v>
      </c>
    </row>
    <row r="7" ht="13.65" customHeight="1">
      <c r="A7" t="s" s="7">
        <v>30</v>
      </c>
      <c r="B7" s="9"/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15"/>
      <c r="K7" s="15"/>
      <c r="L7" s="15"/>
    </row>
    <row r="8" ht="13.65" customHeight="1">
      <c r="A8" t="s" s="7">
        <v>31</v>
      </c>
      <c r="B8" s="9"/>
      <c r="C8" s="9">
        <v>5000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15"/>
      <c r="K8" s="15"/>
      <c r="L8" s="15"/>
    </row>
    <row r="9" ht="13.65" customHeight="1">
      <c r="A9" t="s" s="7">
        <v>32</v>
      </c>
      <c r="B9" s="9"/>
      <c r="C9" s="9"/>
      <c r="D9" s="9">
        <v>10000</v>
      </c>
      <c r="E9" s="9">
        <v>10000</v>
      </c>
      <c r="F9" s="9">
        <v>10000</v>
      </c>
      <c r="G9" s="9">
        <v>10000</v>
      </c>
      <c r="H9" s="9">
        <v>10000</v>
      </c>
      <c r="I9" s="9">
        <v>10000</v>
      </c>
      <c r="J9" s="9">
        <v>10000</v>
      </c>
      <c r="K9" s="9">
        <v>10000</v>
      </c>
      <c r="L9" s="9">
        <v>10000</v>
      </c>
    </row>
    <row r="10" ht="13.65" customHeight="1">
      <c r="A10" t="s" s="7">
        <v>33</v>
      </c>
      <c r="B10" s="9"/>
      <c r="C10" s="9">
        <v>2000</v>
      </c>
      <c r="D10" s="9">
        <v>6000</v>
      </c>
      <c r="E10" s="9">
        <v>6000</v>
      </c>
      <c r="F10" s="9">
        <v>6000</v>
      </c>
      <c r="G10" s="9">
        <v>6000</v>
      </c>
      <c r="H10" s="9">
        <v>6000</v>
      </c>
      <c r="I10" s="9">
        <v>6000</v>
      </c>
      <c r="J10" s="9">
        <v>6000</v>
      </c>
      <c r="K10" s="9">
        <v>6000</v>
      </c>
      <c r="L10" s="9">
        <v>6000</v>
      </c>
    </row>
    <row r="11" ht="13.65" customHeight="1">
      <c r="A11" t="s" s="7">
        <v>34</v>
      </c>
      <c r="B11" s="9"/>
      <c r="C11" s="9"/>
      <c r="D11" s="9"/>
      <c r="E11" s="9"/>
      <c r="F11" s="9"/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</row>
    <row r="12" ht="13.65" customHeight="1">
      <c r="A12" s="15"/>
      <c r="B12" s="15"/>
      <c r="C12" s="15"/>
      <c r="D12" s="15"/>
      <c r="E12" s="15"/>
      <c r="F12" s="15"/>
      <c r="G12" s="9"/>
      <c r="H12" s="9"/>
      <c r="I12" s="15"/>
      <c r="J12" s="15"/>
      <c r="K12" s="15"/>
      <c r="L12" s="15"/>
    </row>
    <row r="13" ht="13.65" customHeight="1">
      <c r="A13" t="s" s="7">
        <v>35</v>
      </c>
      <c r="B13" s="9"/>
      <c r="C13" s="9"/>
      <c r="D13" s="9"/>
      <c r="E13" s="9"/>
      <c r="F13" s="9"/>
      <c r="G13" s="9"/>
      <c r="H13" s="9"/>
      <c r="I13" s="9"/>
      <c r="J13" s="15"/>
      <c r="K13" s="15"/>
      <c r="L13" s="15"/>
    </row>
    <row r="14" ht="13.65" customHeight="1">
      <c r="A14" t="s" s="7">
        <v>36</v>
      </c>
      <c r="B14" s="9">
        <f>SUM(B2:B13)</f>
        <v>0</v>
      </c>
      <c r="C14" s="9">
        <f>SUM(C2:C13)</f>
        <v>50000</v>
      </c>
      <c r="D14" s="9">
        <f>SUM(D2:D13)</f>
        <v>98000</v>
      </c>
      <c r="E14" s="9">
        <f>SUM(E2:E13)</f>
        <v>98000</v>
      </c>
      <c r="F14" s="9">
        <f>SUM(F2:F13)</f>
        <v>98000</v>
      </c>
      <c r="G14" s="9">
        <f>SUM(G2:G13)</f>
        <v>73000</v>
      </c>
      <c r="H14" s="9">
        <f>SUM(H2:H13)</f>
        <v>82000</v>
      </c>
      <c r="I14" s="9">
        <f>SUM(I2:I13)</f>
        <v>82000</v>
      </c>
      <c r="J14" s="9">
        <f>SUM(J2:J13)</f>
        <v>82000</v>
      </c>
      <c r="K14" s="9">
        <f>SUM(K2:K13)</f>
        <v>82000</v>
      </c>
      <c r="L14" s="9">
        <f>SUM(L2:L13)</f>
        <v>82000</v>
      </c>
    </row>
    <row r="15" ht="13.65" customHeight="1">
      <c r="A15" s="11"/>
      <c r="B15" s="16"/>
      <c r="C15" s="16"/>
      <c r="D15" s="16"/>
      <c r="E15" s="11"/>
      <c r="F15" s="11"/>
      <c r="G15" s="11"/>
      <c r="H15" s="11"/>
      <c r="I15" s="11"/>
      <c r="J15" s="11"/>
      <c r="K15" s="11"/>
      <c r="L15" s="11"/>
    </row>
    <row r="16" ht="13.65" customHeight="1">
      <c r="A16" s="12"/>
      <c r="B16" s="17"/>
      <c r="C16" s="17"/>
      <c r="D16" s="17"/>
      <c r="E16" s="12"/>
      <c r="F16" s="12"/>
      <c r="G16" s="12"/>
      <c r="H16" s="12"/>
      <c r="I16" s="12"/>
      <c r="J16" s="12"/>
      <c r="K16" s="12"/>
      <c r="L16" s="12"/>
    </row>
    <row r="17" ht="13.65" customHeight="1">
      <c r="A17" s="12"/>
      <c r="B17" s="17"/>
      <c r="C17" s="17"/>
      <c r="D17" s="17"/>
      <c r="E17" s="12"/>
      <c r="F17" s="12"/>
      <c r="G17" s="12"/>
      <c r="H17" s="12"/>
      <c r="I17" s="12"/>
      <c r="J17" s="12"/>
      <c r="K17" s="12"/>
      <c r="L17" s="12"/>
    </row>
    <row r="18" ht="13.65" customHeight="1">
      <c r="A18" s="12"/>
      <c r="B18" s="17"/>
      <c r="C18" s="17"/>
      <c r="D18" s="17"/>
      <c r="E18" s="12"/>
      <c r="F18" s="12"/>
      <c r="G18" s="12"/>
      <c r="H18" s="12"/>
      <c r="I18" s="12"/>
      <c r="J18" s="12"/>
      <c r="K18" s="12"/>
      <c r="L18" s="12"/>
    </row>
    <row r="19" ht="13.65" customHeight="1">
      <c r="A19" s="12"/>
      <c r="B19" s="17"/>
      <c r="C19" s="17"/>
      <c r="D19" s="17"/>
      <c r="E19" s="12"/>
      <c r="F19" s="12"/>
      <c r="G19" s="12"/>
      <c r="H19" s="12"/>
      <c r="I19" s="12"/>
      <c r="J19" s="12"/>
      <c r="K19" s="12"/>
      <c r="L19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7.6719" style="18" customWidth="1"/>
    <col min="2" max="9" width="12.6719" style="18" customWidth="1"/>
    <col min="10" max="16384" width="12.6719" style="18" customWidth="1"/>
  </cols>
  <sheetData>
    <row r="1" ht="13.65" customHeight="1">
      <c r="A1" t="s" s="14">
        <v>38</v>
      </c>
      <c r="B1" t="s" s="14">
        <v>7</v>
      </c>
      <c r="C1" t="s" s="14">
        <v>8</v>
      </c>
      <c r="D1" t="s" s="14">
        <v>9</v>
      </c>
      <c r="E1" t="s" s="14">
        <v>10</v>
      </c>
      <c r="F1" t="s" s="14">
        <v>11</v>
      </c>
      <c r="G1" t="s" s="14">
        <v>12</v>
      </c>
      <c r="H1" t="s" s="14">
        <v>13</v>
      </c>
      <c r="I1" t="s" s="14">
        <v>14</v>
      </c>
    </row>
    <row r="2" ht="13.65" customHeight="1">
      <c r="A2" t="s" s="7">
        <v>39</v>
      </c>
      <c r="B2" s="9">
        <v>0</v>
      </c>
      <c r="C2" s="9">
        <v>0</v>
      </c>
      <c r="D2" s="9">
        <v>95000</v>
      </c>
      <c r="E2" s="9">
        <v>90000</v>
      </c>
      <c r="F2" s="9">
        <v>90000</v>
      </c>
      <c r="G2" s="9">
        <v>90000</v>
      </c>
      <c r="H2" s="9">
        <v>90000</v>
      </c>
      <c r="I2" s="9">
        <v>90000</v>
      </c>
    </row>
    <row r="3" ht="13.65" customHeight="1">
      <c r="A3" t="s" s="7">
        <v>40</v>
      </c>
      <c r="B3" s="9">
        <v>0</v>
      </c>
      <c r="C3" s="15"/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</row>
    <row r="4" ht="13.65" customHeight="1">
      <c r="A4" t="s" s="7">
        <v>41</v>
      </c>
      <c r="B4" s="9">
        <v>0</v>
      </c>
      <c r="C4" s="9">
        <v>40000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</row>
    <row r="5" ht="13.65" customHeight="1">
      <c r="A5" t="s" s="7">
        <v>42</v>
      </c>
      <c r="B5" s="15"/>
      <c r="C5" s="9">
        <v>10000</v>
      </c>
      <c r="D5" s="9">
        <v>0</v>
      </c>
      <c r="E5" s="9">
        <v>15000</v>
      </c>
      <c r="F5" s="9">
        <v>0</v>
      </c>
      <c r="G5" s="9">
        <v>0</v>
      </c>
      <c r="H5" s="9">
        <v>0</v>
      </c>
      <c r="I5" s="9">
        <v>0</v>
      </c>
    </row>
    <row r="6" ht="13.65" customHeight="1">
      <c r="A6" t="s" s="7">
        <v>43</v>
      </c>
      <c r="B6" s="9">
        <v>0</v>
      </c>
      <c r="C6" s="9">
        <v>33000</v>
      </c>
      <c r="D6" s="9">
        <v>30000</v>
      </c>
      <c r="E6" s="9">
        <v>30000</v>
      </c>
      <c r="F6" s="9">
        <v>30000</v>
      </c>
      <c r="G6" s="9">
        <v>30000</v>
      </c>
      <c r="H6" s="9">
        <v>30000</v>
      </c>
      <c r="I6" s="9">
        <v>30000</v>
      </c>
    </row>
    <row r="7" ht="13.65" customHeight="1">
      <c r="A7" t="s" s="7">
        <v>44</v>
      </c>
      <c r="B7" s="9"/>
      <c r="C7" s="9">
        <v>5000</v>
      </c>
      <c r="D7" s="9">
        <v>11000</v>
      </c>
      <c r="E7" s="9">
        <v>11000</v>
      </c>
      <c r="F7" s="9">
        <v>11000</v>
      </c>
      <c r="G7" s="9">
        <v>11000</v>
      </c>
      <c r="H7" s="9">
        <v>11000</v>
      </c>
      <c r="I7" s="9">
        <v>11000</v>
      </c>
    </row>
    <row r="8" ht="13.65" customHeight="1">
      <c r="A8" t="s" s="7">
        <v>45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</row>
    <row r="9" ht="13.65" customHeight="1">
      <c r="A9" t="s" s="7">
        <v>46</v>
      </c>
      <c r="B9" s="9">
        <v>0</v>
      </c>
      <c r="C9" s="9">
        <v>0</v>
      </c>
      <c r="D9" s="9">
        <v>3000</v>
      </c>
      <c r="E9" s="9">
        <v>3000</v>
      </c>
      <c r="F9" s="9">
        <v>3000</v>
      </c>
      <c r="G9" s="9">
        <v>3000</v>
      </c>
      <c r="H9" s="9">
        <v>3000</v>
      </c>
      <c r="I9" s="9">
        <v>3000</v>
      </c>
    </row>
    <row r="10" ht="13.65" customHeight="1">
      <c r="A10" t="s" s="7">
        <v>47</v>
      </c>
      <c r="B10" s="9"/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ht="13.65" customHeight="1">
      <c r="A11" t="s" s="7">
        <v>48</v>
      </c>
      <c r="B11" s="9">
        <v>0</v>
      </c>
      <c r="C11" s="9">
        <v>0</v>
      </c>
      <c r="D11" s="9"/>
      <c r="E11" s="9"/>
      <c r="F11" s="9"/>
      <c r="G11" s="9"/>
      <c r="H11" s="9"/>
      <c r="I11" s="9"/>
    </row>
    <row r="12" ht="13.65" customHeight="1">
      <c r="A12" t="s" s="7">
        <v>49</v>
      </c>
      <c r="B12" s="9">
        <v>200000</v>
      </c>
      <c r="C12" s="9"/>
      <c r="D12" s="9"/>
      <c r="E12" s="9"/>
      <c r="F12" s="9"/>
      <c r="G12" s="9"/>
      <c r="H12" s="9"/>
      <c r="I12" s="9"/>
    </row>
    <row r="13" ht="13.65" customHeight="1">
      <c r="A13" t="s" s="7">
        <v>50</v>
      </c>
      <c r="B13" s="9"/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 ht="13.65" customHeight="1">
      <c r="A14" s="15"/>
      <c r="B14" s="9"/>
      <c r="C14" s="9"/>
      <c r="D14" s="9"/>
      <c r="E14" s="9"/>
      <c r="F14" s="9"/>
      <c r="G14" s="9"/>
      <c r="H14" s="9"/>
      <c r="I14" s="9"/>
    </row>
    <row r="15" ht="13.65" customHeight="1">
      <c r="A15" s="15"/>
      <c r="B15" s="9"/>
      <c r="C15" s="9"/>
      <c r="D15" s="9"/>
      <c r="E15" s="9"/>
      <c r="F15" s="9"/>
      <c r="G15" s="9"/>
      <c r="H15" s="9"/>
      <c r="I15" s="9"/>
    </row>
    <row r="16" ht="13.65" customHeight="1">
      <c r="A16" t="s" s="7">
        <v>15</v>
      </c>
      <c r="B16" s="9">
        <f>SUM(B2:B13)</f>
        <v>200000</v>
      </c>
      <c r="C16" s="9">
        <f>SUM(C2:C13)</f>
        <v>88000</v>
      </c>
      <c r="D16" s="9">
        <f>SUM(D2:D13)</f>
        <v>139000</v>
      </c>
      <c r="E16" s="9">
        <f>SUM(E2:E13)</f>
        <v>149000</v>
      </c>
      <c r="F16" s="9">
        <f>SUM(F2:F13)</f>
        <v>134000</v>
      </c>
      <c r="G16" s="9">
        <f>SUM(G2:G13)</f>
        <v>134000</v>
      </c>
      <c r="H16" s="9">
        <f>SUM(H2:H13)</f>
        <v>134000</v>
      </c>
      <c r="I16" s="9">
        <f>SUM(I2:I13)</f>
        <v>134000</v>
      </c>
    </row>
    <row r="17" ht="13.65" customHeight="1">
      <c r="A17" s="11"/>
      <c r="B17" s="16"/>
      <c r="C17" s="16"/>
      <c r="D17" s="16"/>
      <c r="E17" s="11"/>
      <c r="F17" s="11"/>
      <c r="G17" s="11"/>
      <c r="H17" s="11"/>
      <c r="I17" s="11"/>
    </row>
    <row r="18" ht="13.65" customHeight="1">
      <c r="A18" s="12"/>
      <c r="B18" s="17"/>
      <c r="C18" s="17"/>
      <c r="D18" s="17"/>
      <c r="E18" s="12"/>
      <c r="F18" s="12"/>
      <c r="G18" s="12"/>
      <c r="H18" s="12"/>
      <c r="I18" s="12"/>
    </row>
    <row r="19" ht="13.65" customHeight="1">
      <c r="A19" s="12"/>
      <c r="B19" s="17"/>
      <c r="C19" s="17"/>
      <c r="D19" s="17"/>
      <c r="E19" s="12"/>
      <c r="F19" s="12"/>
      <c r="G19" s="12"/>
      <c r="H19" s="12"/>
      <c r="I19" s="12"/>
    </row>
    <row r="20" ht="13.65" customHeight="1">
      <c r="A20" s="12"/>
      <c r="B20" s="17"/>
      <c r="C20" s="17"/>
      <c r="D20" s="17"/>
      <c r="E20" s="12"/>
      <c r="F20" s="12"/>
      <c r="G20" s="12"/>
      <c r="H20" s="12"/>
      <c r="I20" s="12"/>
    </row>
    <row r="21" ht="13.65" customHeight="1">
      <c r="A21" s="12"/>
      <c r="B21" s="17"/>
      <c r="C21" s="17"/>
      <c r="D21" s="17"/>
      <c r="E21" s="12"/>
      <c r="F21" s="12"/>
      <c r="G21" s="12"/>
      <c r="H21" s="12"/>
      <c r="I21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