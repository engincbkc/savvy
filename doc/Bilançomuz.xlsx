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Özet" sheetId="1" r:id="rId5"/>
    <sheet state="visible" name="Giderler" sheetId="2" r:id="rId6"/>
    <sheet state="visible" name="Gelirler" sheetId="3" r:id="rId7"/>
  </sheets>
  <definedNames/>
  <calcPr/>
</workbook>
</file>

<file path=xl/sharedStrings.xml><?xml version="1.0" encoding="utf-8"?>
<sst xmlns="http://schemas.openxmlformats.org/spreadsheetml/2006/main" count="84" uniqueCount="54">
  <si>
    <t xml:space="preserve"> 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</si>
  <si>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</si>
  <si>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</si>
  <si>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</si>
  <si>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</si>
  <si>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</si>
  <si>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</si>
  <si>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</si>
  <si>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</si>
  <si>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</si>
  <si>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</si>
  <si>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Ocak</t>
  </si>
  <si>
    <t>Şubat</t>
  </si>
  <si>
    <t>Toplam Gelir</t>
  </si>
  <si>
    <t>Toplam Gider</t>
  </si>
  <si>
    <t>Önceki Aydan Devir</t>
  </si>
  <si>
    <t>Aylık net</t>
  </si>
  <si>
    <t>Kümülatif Net</t>
  </si>
  <si>
    <t>Gider Kalemleri</t>
  </si>
  <si>
    <t>Kira</t>
  </si>
  <si>
    <t>QNB Kart Borcu</t>
  </si>
  <si>
    <t>QNB Nakit Avans</t>
  </si>
  <si>
    <t>Ev Alışverişi</t>
  </si>
  <si>
    <t>Ulaşım Engin</t>
  </si>
  <si>
    <t>Ulaşım Eyüp</t>
  </si>
  <si>
    <t>Keyfi Harcama Eyüp</t>
  </si>
  <si>
    <t>Keyfi Harcama Engin</t>
  </si>
  <si>
    <t>Sema</t>
  </si>
  <si>
    <t>Reklam Masrafı</t>
  </si>
  <si>
    <t>Faturalar</t>
  </si>
  <si>
    <t>İcra Annem taksit</t>
  </si>
  <si>
    <t>İngilizce ve Diğer taksit</t>
  </si>
  <si>
    <t>Enza Taksit</t>
  </si>
  <si>
    <t>Tamirat Tadilat</t>
  </si>
  <si>
    <t>Yapı Kredi KMH</t>
  </si>
  <si>
    <t xml:space="preserve">Banka fazileri </t>
  </si>
  <si>
    <t>Barışa harçlık</t>
  </si>
  <si>
    <t>Araba Kredi</t>
  </si>
  <si>
    <t>Araba Peşinat</t>
  </si>
  <si>
    <t>Toplam</t>
  </si>
  <si>
    <t>Gelir Kalemleri</t>
  </si>
  <si>
    <t>Eng Ort M</t>
  </si>
  <si>
    <t>Engin Ek iş</t>
  </si>
  <si>
    <t>Nakit</t>
  </si>
  <si>
    <t>Gamze Ablalar</t>
  </si>
  <si>
    <t>Emre Abi</t>
  </si>
  <si>
    <t>Metropol Kart</t>
  </si>
  <si>
    <t>Ulaşım masraf</t>
  </si>
  <si>
    <t xml:space="preserve">Muharrem </t>
  </si>
  <si>
    <t>Birikim</t>
  </si>
  <si>
    <t>Eyüp Maaş</t>
  </si>
  <si>
    <t>Eyüp Emekli Maaş</t>
  </si>
  <si>
    <t>Prim</t>
  </si>
  <si>
    <t>depozito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</si>
</sst>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TRY-41F]"/>
  </numFmts>
  <fonts count="7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4.0"/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164" xfId="0" applyAlignment="1" applyBorder="1" applyFont="1" applyNumberFormat="1">
      <alignment horizontal="right" vertical="bottom"/>
    </xf>
    <xf borderId="1" fillId="2" fontId="4" numFmtId="0" xfId="0" applyAlignment="1" applyBorder="1" applyFill="1" applyFont="1">
      <alignment readingOrder="0" vertical="bottom"/>
    </xf>
    <xf borderId="1" fillId="2" fontId="4" numFmtId="164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readingOrder="0" vertical="bottom"/>
    </xf>
    <xf borderId="1" fillId="0" fontId="5" numFmtId="16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left" readingOrder="0" vertical="bottom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13" width="18.0"/>
    <col customWidth="1" min="14" max="14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</v>
      </c>
    </row>
    <row r="2">
      <c r="A2" s="1" t="s">
        <v>13</v>
      </c>
      <c r="B2" s="3">
        <f>Gelirler!B17</f>
        <v>55500</v>
      </c>
      <c r="C2" s="3">
        <f>Gelirler!C17</f>
        <v>251500</v>
      </c>
      <c r="D2" s="3">
        <f>Gelirler!D17</f>
        <v>246500</v>
      </c>
      <c r="E2" s="3">
        <f>Gelirler!E17</f>
        <v>211500</v>
      </c>
      <c r="F2" s="3">
        <f>Gelirler!F17</f>
        <v>211500</v>
      </c>
      <c r="G2" s="3">
        <f>Gelirler!G17</f>
        <v>211500</v>
      </c>
      <c r="H2" s="3">
        <f>Gelirler!H17</f>
        <v>211500</v>
      </c>
      <c r="I2" s="3">
        <f>Gelirler!I17</f>
        <v>214500</v>
      </c>
      <c r="J2" s="3">
        <f>Gelirler!J17</f>
        <v>214500</v>
      </c>
      <c r="K2" s="3">
        <f>Gelirler!K17</f>
        <v>214500</v>
      </c>
      <c r="L2" s="3">
        <f>Gelirler!L17</f>
        <v>211500</v>
      </c>
      <c r="M2" s="3">
        <f>Gelirler!M17</f>
        <v>241500</v>
      </c>
      <c r="N2" s="3">
        <f>Gelirler!N17</f>
        <v>241500</v>
      </c>
    </row>
    <row r="3">
      <c r="A3" s="1" t="s">
        <v>14</v>
      </c>
      <c r="B3" s="3">
        <f>Giderler!B23</f>
        <v>111245</v>
      </c>
      <c r="C3" s="3">
        <f>Giderler!C23</f>
        <v>156500</v>
      </c>
      <c r="D3" s="3">
        <f>Giderler!D23</f>
        <v>156500</v>
      </c>
      <c r="E3" s="3">
        <f>Giderler!E23</f>
        <v>156500</v>
      </c>
      <c r="F3" s="3">
        <f>Giderler!F23</f>
        <v>154000</v>
      </c>
      <c r="G3" s="3">
        <f>Giderler!G23</f>
        <v>140500</v>
      </c>
      <c r="H3" s="3">
        <f>Giderler!H23</f>
        <v>140500</v>
      </c>
      <c r="I3" s="3">
        <f>Giderler!I23</f>
        <v>140500</v>
      </c>
      <c r="J3" s="3">
        <f>Giderler!J23</f>
        <v>140500</v>
      </c>
      <c r="K3" s="3">
        <f>Giderler!K23</f>
        <v>140500</v>
      </c>
      <c r="L3" s="3">
        <f>Giderler!L23</f>
        <v>130500</v>
      </c>
      <c r="M3" s="3">
        <f>Giderler!M23</f>
        <v>130500</v>
      </c>
      <c r="N3" s="3">
        <f>Giderler!N23</f>
        <v>139500</v>
      </c>
    </row>
    <row r="4" ht="28.5" customHeight="1">
      <c r="A4" s="1" t="s">
        <v>15</v>
      </c>
      <c r="B4" s="4">
        <v>200000.0</v>
      </c>
      <c r="C4" s="3">
        <f t="shared" ref="C4:N4" si="1">B6</f>
        <v>144255</v>
      </c>
      <c r="D4" s="3">
        <f t="shared" si="1"/>
        <v>239255</v>
      </c>
      <c r="E4" s="3">
        <f t="shared" si="1"/>
        <v>329255</v>
      </c>
      <c r="F4" s="3">
        <f t="shared" si="1"/>
        <v>384255</v>
      </c>
      <c r="G4" s="3">
        <f t="shared" si="1"/>
        <v>441755</v>
      </c>
      <c r="H4" s="3">
        <f t="shared" si="1"/>
        <v>512755</v>
      </c>
      <c r="I4" s="3">
        <f t="shared" si="1"/>
        <v>583755</v>
      </c>
      <c r="J4" s="3">
        <f t="shared" si="1"/>
        <v>657755</v>
      </c>
      <c r="K4" s="3">
        <f t="shared" si="1"/>
        <v>731755</v>
      </c>
      <c r="L4" s="3">
        <f t="shared" si="1"/>
        <v>805755</v>
      </c>
      <c r="M4" s="3">
        <f t="shared" si="1"/>
        <v>886755</v>
      </c>
      <c r="N4" s="3">
        <f t="shared" si="1"/>
        <v>997755</v>
      </c>
    </row>
    <row r="5">
      <c r="A5" s="5" t="s">
        <v>16</v>
      </c>
      <c r="B5" s="6">
        <f t="shared" ref="B5:N5" si="2">B2-B3</f>
        <v>-55745</v>
      </c>
      <c r="C5" s="6">
        <f t="shared" si="2"/>
        <v>95000</v>
      </c>
      <c r="D5" s="6">
        <f t="shared" si="2"/>
        <v>90000</v>
      </c>
      <c r="E5" s="6">
        <f t="shared" si="2"/>
        <v>55000</v>
      </c>
      <c r="F5" s="6">
        <f t="shared" si="2"/>
        <v>57500</v>
      </c>
      <c r="G5" s="6">
        <f t="shared" si="2"/>
        <v>71000</v>
      </c>
      <c r="H5" s="6">
        <f t="shared" si="2"/>
        <v>71000</v>
      </c>
      <c r="I5" s="6">
        <f t="shared" si="2"/>
        <v>74000</v>
      </c>
      <c r="J5" s="6">
        <f t="shared" si="2"/>
        <v>74000</v>
      </c>
      <c r="K5" s="6">
        <f t="shared" si="2"/>
        <v>74000</v>
      </c>
      <c r="L5" s="6">
        <f t="shared" si="2"/>
        <v>81000</v>
      </c>
      <c r="M5" s="6">
        <f t="shared" si="2"/>
        <v>111000</v>
      </c>
      <c r="N5" s="6">
        <f t="shared" si="2"/>
        <v>102000</v>
      </c>
    </row>
    <row r="6">
      <c r="A6" s="7" t="s">
        <v>17</v>
      </c>
      <c r="B6" s="8">
        <f t="shared" ref="B6:N6" si="3">B2-B3+B4</f>
        <v>144255</v>
      </c>
      <c r="C6" s="8">
        <f t="shared" si="3"/>
        <v>239255</v>
      </c>
      <c r="D6" s="8">
        <f t="shared" si="3"/>
        <v>329255</v>
      </c>
      <c r="E6" s="8">
        <f t="shared" si="3"/>
        <v>384255</v>
      </c>
      <c r="F6" s="8">
        <f t="shared" si="3"/>
        <v>441755</v>
      </c>
      <c r="G6" s="8">
        <f t="shared" si="3"/>
        <v>512755</v>
      </c>
      <c r="H6" s="8">
        <f t="shared" si="3"/>
        <v>583755</v>
      </c>
      <c r="I6" s="8">
        <f t="shared" si="3"/>
        <v>657755</v>
      </c>
      <c r="J6" s="8">
        <f t="shared" si="3"/>
        <v>731755</v>
      </c>
      <c r="K6" s="8">
        <f t="shared" si="3"/>
        <v>805755</v>
      </c>
      <c r="L6" s="8">
        <f t="shared" si="3"/>
        <v>886755</v>
      </c>
      <c r="M6" s="8">
        <f t="shared" si="3"/>
        <v>997755</v>
      </c>
      <c r="N6" s="8">
        <f t="shared" si="3"/>
        <v>1099755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8.88"/>
    <col customWidth="1" min="3" max="3" width="15.25"/>
    <col customWidth="1" min="4" max="9" width="12.13"/>
    <col customWidth="1" min="10" max="10" width="16.5"/>
    <col customWidth="1" min="11" max="11" width="12.13"/>
  </cols>
  <sheetData>
    <row r="1">
      <c r="A1" s="9" t="s">
        <v>18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</v>
      </c>
      <c r="O1" s="9" t="s">
        <v>2</v>
      </c>
    </row>
    <row r="2">
      <c r="A2" s="1" t="s">
        <v>19</v>
      </c>
      <c r="B2" s="3">
        <v>0.0</v>
      </c>
      <c r="C2" s="4">
        <v>36000.0</v>
      </c>
      <c r="D2" s="4">
        <v>36000.0</v>
      </c>
      <c r="E2" s="4">
        <v>36000.0</v>
      </c>
      <c r="F2" s="4">
        <v>36000.0</v>
      </c>
      <c r="G2" s="4">
        <v>36000.0</v>
      </c>
      <c r="H2" s="4">
        <v>36000.0</v>
      </c>
      <c r="I2" s="4">
        <v>36000.0</v>
      </c>
      <c r="J2" s="4">
        <v>36000.0</v>
      </c>
      <c r="K2" s="4">
        <v>36000.0</v>
      </c>
      <c r="L2" s="4">
        <v>36000.0</v>
      </c>
      <c r="M2" s="4">
        <v>36000.0</v>
      </c>
      <c r="N2" s="4">
        <v>45000.0</v>
      </c>
      <c r="O2" s="4">
        <v>45000.0</v>
      </c>
    </row>
    <row r="3">
      <c r="A3" s="1" t="s">
        <v>20</v>
      </c>
      <c r="B3" s="3">
        <v>25000.0</v>
      </c>
      <c r="C3" s="4">
        <v>5000.0</v>
      </c>
      <c r="D3" s="4">
        <v>5000.0</v>
      </c>
      <c r="E3" s="4">
        <v>5000.0</v>
      </c>
      <c r="F3" s="4">
        <v>5000.0</v>
      </c>
      <c r="G3" s="4">
        <v>5000.0</v>
      </c>
      <c r="H3" s="4">
        <v>5000.0</v>
      </c>
      <c r="I3" s="4">
        <v>5000.0</v>
      </c>
      <c r="J3" s="4">
        <v>5000.0</v>
      </c>
      <c r="K3" s="4">
        <v>5000.0</v>
      </c>
      <c r="L3" s="4">
        <v>5000.0</v>
      </c>
      <c r="M3" s="4">
        <v>5000.0</v>
      </c>
      <c r="N3" s="4">
        <v>5000.0</v>
      </c>
      <c r="O3" s="4">
        <v>5000.0</v>
      </c>
    </row>
    <row r="4">
      <c r="A4" s="1" t="s">
        <v>21</v>
      </c>
      <c r="B4" s="4">
        <v>3245.0</v>
      </c>
      <c r="C4" s="10"/>
      <c r="D4" s="10"/>
      <c r="E4" s="10"/>
      <c r="F4" s="10"/>
      <c r="G4" s="10"/>
      <c r="H4" s="10"/>
      <c r="I4" s="1"/>
      <c r="J4" s="1"/>
      <c r="K4" s="1"/>
    </row>
    <row r="5">
      <c r="A5" s="1" t="s">
        <v>22</v>
      </c>
      <c r="B5" s="4">
        <v>10000.0</v>
      </c>
      <c r="C5" s="4">
        <v>22000.0</v>
      </c>
      <c r="D5" s="4">
        <v>22000.0</v>
      </c>
      <c r="E5" s="4">
        <v>22000.0</v>
      </c>
      <c r="F5" s="4">
        <v>22000.0</v>
      </c>
      <c r="G5" s="4">
        <v>22000.0</v>
      </c>
      <c r="H5" s="4">
        <v>22000.0</v>
      </c>
      <c r="I5" s="4">
        <v>22000.0</v>
      </c>
      <c r="J5" s="4">
        <v>22000.0</v>
      </c>
      <c r="K5" s="4">
        <v>22000.0</v>
      </c>
      <c r="L5" s="4">
        <v>22000.0</v>
      </c>
      <c r="M5" s="4">
        <v>22000.0</v>
      </c>
      <c r="N5" s="4">
        <v>22000.0</v>
      </c>
      <c r="O5" s="4">
        <v>22000.0</v>
      </c>
    </row>
    <row r="6">
      <c r="A6" s="11" t="s">
        <v>23</v>
      </c>
      <c r="B6" s="4">
        <v>4000.0</v>
      </c>
      <c r="C6" s="4">
        <v>4000.0</v>
      </c>
      <c r="D6" s="4">
        <v>4000.0</v>
      </c>
      <c r="E6" s="4">
        <v>4000.0</v>
      </c>
      <c r="F6" s="4">
        <v>4000.0</v>
      </c>
      <c r="G6" s="4">
        <v>4000.0</v>
      </c>
      <c r="H6" s="4">
        <v>4000.0</v>
      </c>
      <c r="I6" s="4">
        <v>4000.0</v>
      </c>
      <c r="J6" s="4">
        <v>4000.0</v>
      </c>
      <c r="K6" s="4">
        <v>4000.0</v>
      </c>
      <c r="L6" s="4">
        <v>4000.0</v>
      </c>
      <c r="M6" s="4">
        <v>4000.0</v>
      </c>
      <c r="N6" s="4">
        <v>4000.0</v>
      </c>
      <c r="O6" s="4">
        <v>4000.0</v>
      </c>
    </row>
    <row r="7">
      <c r="A7" s="11" t="s">
        <v>24</v>
      </c>
      <c r="B7" s="4">
        <v>3000.0</v>
      </c>
      <c r="C7" s="4">
        <v>3000.0</v>
      </c>
      <c r="D7" s="4">
        <v>3000.0</v>
      </c>
      <c r="E7" s="4">
        <v>3000.0</v>
      </c>
      <c r="F7" s="4">
        <v>3000.0</v>
      </c>
      <c r="G7" s="4">
        <v>3000.0</v>
      </c>
      <c r="H7" s="4">
        <v>3000.0</v>
      </c>
      <c r="I7" s="4">
        <v>3000.0</v>
      </c>
      <c r="J7" s="4">
        <v>3000.0</v>
      </c>
      <c r="K7" s="4">
        <v>3000.0</v>
      </c>
      <c r="L7" s="4">
        <v>3000.0</v>
      </c>
      <c r="M7" s="4">
        <v>3000.0</v>
      </c>
      <c r="N7" s="4">
        <v>3000.0</v>
      </c>
      <c r="O7" s="4">
        <v>3000.0</v>
      </c>
    </row>
    <row r="8">
      <c r="A8" s="11" t="s">
        <v>25</v>
      </c>
      <c r="B8" s="4">
        <v>0.0</v>
      </c>
      <c r="C8" s="4">
        <v>7500.0</v>
      </c>
      <c r="D8" s="4">
        <v>7500.0</v>
      </c>
      <c r="E8" s="4">
        <v>7500.0</v>
      </c>
      <c r="F8" s="4">
        <v>15000.0</v>
      </c>
      <c r="G8" s="4">
        <v>15000.0</v>
      </c>
      <c r="H8" s="4">
        <v>15000.0</v>
      </c>
      <c r="I8" s="4">
        <v>15000.0</v>
      </c>
      <c r="J8" s="4">
        <v>15000.0</v>
      </c>
      <c r="K8" s="4">
        <v>15000.0</v>
      </c>
      <c r="L8" s="4">
        <v>15000.0</v>
      </c>
      <c r="M8" s="4">
        <v>15000.0</v>
      </c>
      <c r="N8" s="4">
        <v>15000.0</v>
      </c>
      <c r="O8" s="4">
        <v>15000.0</v>
      </c>
    </row>
    <row r="9">
      <c r="A9" s="11" t="s">
        <v>26</v>
      </c>
      <c r="B9" s="4">
        <v>3000.0</v>
      </c>
      <c r="C9" s="4">
        <v>3000.0</v>
      </c>
      <c r="D9" s="4">
        <v>3000.0</v>
      </c>
      <c r="E9" s="4">
        <v>3000.0</v>
      </c>
      <c r="F9" s="4">
        <v>10000.0</v>
      </c>
      <c r="G9" s="4">
        <v>10000.0</v>
      </c>
      <c r="H9" s="4">
        <v>10000.0</v>
      </c>
      <c r="I9" s="4">
        <v>10000.0</v>
      </c>
      <c r="J9" s="4">
        <v>10000.0</v>
      </c>
      <c r="K9" s="4">
        <v>10000.0</v>
      </c>
      <c r="L9" s="4">
        <v>10000.0</v>
      </c>
      <c r="M9" s="4">
        <v>10000.0</v>
      </c>
      <c r="N9" s="4">
        <v>10000.0</v>
      </c>
      <c r="O9" s="4">
        <v>10000.0</v>
      </c>
      <c r="Y9" s="4">
        <v>3000.0</v>
      </c>
    </row>
    <row r="10">
      <c r="A10" s="1" t="s">
        <v>27</v>
      </c>
      <c r="B10" s="4">
        <v>0.0</v>
      </c>
      <c r="C10" s="3">
        <v>0.0</v>
      </c>
      <c r="D10" s="3">
        <v>0.0</v>
      </c>
      <c r="E10" s="3">
        <v>0.0</v>
      </c>
      <c r="F10" s="4">
        <v>5000.0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</row>
    <row r="11">
      <c r="A11" s="11" t="s">
        <v>28</v>
      </c>
      <c r="B11" s="10"/>
      <c r="C11" s="4">
        <v>13000.0</v>
      </c>
      <c r="D11" s="4">
        <v>13000.0</v>
      </c>
      <c r="E11" s="4">
        <v>13000.0</v>
      </c>
      <c r="F11" s="4">
        <v>13000.0</v>
      </c>
      <c r="G11" s="4">
        <v>13000.0</v>
      </c>
      <c r="H11" s="4">
        <v>13000.0</v>
      </c>
      <c r="I11" s="4">
        <v>13000.0</v>
      </c>
      <c r="J11" s="4">
        <v>13000.0</v>
      </c>
      <c r="K11" s="4">
        <v>13000.0</v>
      </c>
      <c r="L11" s="4">
        <v>13000.0</v>
      </c>
      <c r="M11" s="4">
        <v>13000.0</v>
      </c>
      <c r="N11" s="4">
        <v>13000.0</v>
      </c>
      <c r="O11" s="4">
        <v>13000.0</v>
      </c>
    </row>
    <row r="12">
      <c r="A12" s="1" t="s">
        <v>29</v>
      </c>
      <c r="B12" s="3">
        <v>2000.0</v>
      </c>
      <c r="C12" s="4">
        <v>7500.0</v>
      </c>
      <c r="D12" s="4">
        <v>7500.0</v>
      </c>
      <c r="E12" s="4">
        <v>7500.0</v>
      </c>
      <c r="F12" s="4">
        <v>7500.0</v>
      </c>
      <c r="G12" s="4">
        <v>7500.0</v>
      </c>
      <c r="H12" s="4">
        <v>7500.0</v>
      </c>
      <c r="I12" s="4">
        <v>7500.0</v>
      </c>
      <c r="J12" s="4">
        <v>7500.0</v>
      </c>
      <c r="K12" s="4">
        <v>7500.0</v>
      </c>
      <c r="L12" s="4">
        <v>7500.0</v>
      </c>
      <c r="M12" s="4">
        <v>7500.0</v>
      </c>
      <c r="N12" s="4">
        <v>7500.0</v>
      </c>
      <c r="O12" s="4">
        <v>7500.0</v>
      </c>
    </row>
    <row r="13">
      <c r="A13" s="11" t="s">
        <v>30</v>
      </c>
      <c r="B13" s="12">
        <v>0.0</v>
      </c>
      <c r="C13" s="12">
        <v>22000.0</v>
      </c>
      <c r="D13" s="12">
        <v>22000.0</v>
      </c>
      <c r="E13" s="12">
        <v>22000.0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12">
        <v>0.0</v>
      </c>
    </row>
    <row r="14">
      <c r="A14" s="11" t="s">
        <v>31</v>
      </c>
      <c r="B14" s="12">
        <v>0.0</v>
      </c>
      <c r="C14" s="12">
        <v>10000.0</v>
      </c>
      <c r="D14" s="12">
        <v>10000.0</v>
      </c>
      <c r="E14" s="12">
        <v>10000.0</v>
      </c>
      <c r="F14" s="12">
        <v>10000.0</v>
      </c>
      <c r="G14" s="12">
        <v>10000.0</v>
      </c>
      <c r="H14" s="12">
        <v>10000.0</v>
      </c>
      <c r="I14" s="12">
        <v>10000.0</v>
      </c>
      <c r="J14" s="12">
        <v>10000.0</v>
      </c>
      <c r="K14" s="12">
        <v>10000.0</v>
      </c>
      <c r="L14" s="12">
        <v>0.0</v>
      </c>
      <c r="M14" s="12">
        <v>0.0</v>
      </c>
      <c r="N14" s="12">
        <v>0.0</v>
      </c>
      <c r="O14" s="12">
        <v>0.0</v>
      </c>
    </row>
    <row r="15">
      <c r="A15" s="11" t="s">
        <v>32</v>
      </c>
      <c r="B15" s="12">
        <v>8500.0</v>
      </c>
      <c r="C15" s="12">
        <v>8500.0</v>
      </c>
      <c r="D15" s="12">
        <v>8500.0</v>
      </c>
      <c r="E15" s="12">
        <v>8500.0</v>
      </c>
      <c r="F15" s="12">
        <v>8500.0</v>
      </c>
      <c r="G15" s="10"/>
      <c r="H15" s="10"/>
      <c r="I15" s="1"/>
      <c r="J15" s="1"/>
      <c r="K15" s="1"/>
      <c r="L15" s="1"/>
      <c r="M15" s="1"/>
      <c r="N15" s="1"/>
      <c r="O15" s="1"/>
      <c r="Y15" s="1"/>
    </row>
    <row r="16">
      <c r="A16" s="11" t="s">
        <v>33</v>
      </c>
      <c r="B16" s="12">
        <v>8000.0</v>
      </c>
      <c r="C16" s="12">
        <v>0.0</v>
      </c>
      <c r="D16" s="10"/>
      <c r="E16" s="10"/>
      <c r="F16" s="10"/>
      <c r="G16" s="10"/>
      <c r="H16" s="10"/>
      <c r="I16" s="1"/>
      <c r="J16" s="1"/>
      <c r="K16" s="1"/>
      <c r="L16" s="1"/>
      <c r="M16" s="1"/>
      <c r="N16" s="1"/>
      <c r="O16" s="1"/>
    </row>
    <row r="17">
      <c r="A17" s="11" t="s">
        <v>34</v>
      </c>
      <c r="B17" s="12">
        <v>42000.0</v>
      </c>
      <c r="C17" s="12">
        <v>0.0</v>
      </c>
      <c r="D17" s="10"/>
      <c r="E17" s="10"/>
      <c r="F17" s="10"/>
      <c r="G17" s="10"/>
      <c r="H17" s="10"/>
      <c r="I17" s="1"/>
      <c r="J17" s="1"/>
      <c r="K17" s="1"/>
      <c r="L17" s="1"/>
      <c r="M17" s="1"/>
      <c r="N17" s="1"/>
      <c r="O17" s="1"/>
    </row>
    <row r="18">
      <c r="A18" s="11" t="s">
        <v>35</v>
      </c>
      <c r="B18" s="12">
        <v>2500.0</v>
      </c>
      <c r="C18" s="12">
        <v>0.0</v>
      </c>
      <c r="D18" s="10"/>
      <c r="E18" s="10"/>
      <c r="F18" s="10"/>
      <c r="G18" s="10"/>
      <c r="H18" s="10"/>
      <c r="I18" s="1"/>
      <c r="J18" s="1"/>
      <c r="K18" s="1"/>
      <c r="L18" s="1"/>
      <c r="M18" s="1"/>
      <c r="N18" s="1"/>
      <c r="O18" s="1"/>
    </row>
    <row r="19">
      <c r="A19" s="11" t="s">
        <v>36</v>
      </c>
      <c r="B19" s="12">
        <v>0.0</v>
      </c>
      <c r="C19" s="12">
        <v>15000.0</v>
      </c>
      <c r="D19" s="12">
        <v>15000.0</v>
      </c>
      <c r="E19" s="12">
        <v>15000.0</v>
      </c>
      <c r="F19" s="12">
        <v>15000.0</v>
      </c>
      <c r="G19" s="12">
        <v>15000.0</v>
      </c>
      <c r="H19" s="12">
        <v>15000.0</v>
      </c>
      <c r="I19" s="12">
        <v>15000.0</v>
      </c>
      <c r="J19" s="12">
        <v>15000.0</v>
      </c>
      <c r="K19" s="12">
        <v>15000.0</v>
      </c>
      <c r="L19" s="12">
        <v>15000.0</v>
      </c>
      <c r="M19" s="12">
        <v>15000.0</v>
      </c>
      <c r="N19" s="12">
        <v>15000.0</v>
      </c>
      <c r="O19" s="12">
        <v>15000.0</v>
      </c>
      <c r="Y19" s="12"/>
    </row>
    <row r="20">
      <c r="A20" s="11" t="s">
        <v>37</v>
      </c>
      <c r="B20" s="12"/>
      <c r="C20" s="10"/>
      <c r="D20" s="10"/>
      <c r="E20" s="10"/>
      <c r="F20" s="10"/>
      <c r="G20" s="10"/>
      <c r="H20" s="10"/>
      <c r="I20" s="1"/>
      <c r="J20" s="1"/>
      <c r="K20" s="11"/>
      <c r="L20" s="11"/>
      <c r="M20" s="11"/>
      <c r="N20" s="11"/>
      <c r="O20" s="11"/>
    </row>
    <row r="21">
      <c r="A21" s="11" t="s">
        <v>38</v>
      </c>
      <c r="B21" s="10"/>
      <c r="C21" s="10"/>
      <c r="D21" s="10"/>
      <c r="E21" s="10"/>
      <c r="F21" s="10"/>
      <c r="G21" s="10"/>
      <c r="H21" s="10"/>
      <c r="I21" s="1"/>
      <c r="J21" s="12"/>
      <c r="K21" s="1"/>
      <c r="L21" s="1"/>
      <c r="M21" s="1"/>
      <c r="N21" s="1"/>
      <c r="O21" s="1"/>
    </row>
    <row r="22">
      <c r="A22" s="1"/>
      <c r="B22" s="10"/>
      <c r="C22" s="10"/>
      <c r="D22" s="10"/>
      <c r="E22" s="10"/>
      <c r="F22" s="10"/>
      <c r="G22" s="10"/>
      <c r="H22" s="10"/>
      <c r="I22" s="1"/>
      <c r="J22" s="1"/>
      <c r="K22" s="1"/>
      <c r="L22" s="1"/>
      <c r="M22" s="1"/>
      <c r="N22" s="1"/>
      <c r="O22" s="1"/>
    </row>
    <row r="23">
      <c r="A23" s="1" t="s">
        <v>39</v>
      </c>
      <c r="B23" s="3">
        <f t="shared" ref="B23:O23" si="1">SUM(B2:B22)</f>
        <v>111245</v>
      </c>
      <c r="C23" s="3">
        <f t="shared" si="1"/>
        <v>156500</v>
      </c>
      <c r="D23" s="3">
        <f t="shared" si="1"/>
        <v>156500</v>
      </c>
      <c r="E23" s="3">
        <f t="shared" si="1"/>
        <v>156500</v>
      </c>
      <c r="F23" s="3">
        <f t="shared" si="1"/>
        <v>154000</v>
      </c>
      <c r="G23" s="3">
        <f t="shared" si="1"/>
        <v>140500</v>
      </c>
      <c r="H23" s="3">
        <f t="shared" si="1"/>
        <v>140500</v>
      </c>
      <c r="I23" s="3">
        <f t="shared" si="1"/>
        <v>140500</v>
      </c>
      <c r="J23" s="3">
        <f t="shared" si="1"/>
        <v>140500</v>
      </c>
      <c r="K23" s="3">
        <f t="shared" si="1"/>
        <v>140500</v>
      </c>
      <c r="L23" s="3">
        <f t="shared" si="1"/>
        <v>130500</v>
      </c>
      <c r="M23" s="3">
        <f t="shared" si="1"/>
        <v>130500</v>
      </c>
      <c r="N23" s="3">
        <f t="shared" si="1"/>
        <v>139500</v>
      </c>
      <c r="O23" s="3">
        <f t="shared" si="1"/>
        <v>139500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5.0"/>
  </cols>
  <sheetData>
    <row r="1">
      <c r="A1" s="13" t="s">
        <v>40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</v>
      </c>
      <c r="O1" s="13" t="s">
        <v>2</v>
      </c>
    </row>
    <row r="2">
      <c r="A2" s="14" t="s">
        <v>41</v>
      </c>
      <c r="B2" s="3">
        <v>0.0</v>
      </c>
      <c r="C2" s="3">
        <v>95000.0</v>
      </c>
      <c r="D2" s="3">
        <v>90000.0</v>
      </c>
      <c r="E2" s="3">
        <v>90000.0</v>
      </c>
      <c r="F2" s="3">
        <v>90000.0</v>
      </c>
      <c r="G2" s="3">
        <v>90000.0</v>
      </c>
      <c r="H2" s="3">
        <v>90000.0</v>
      </c>
      <c r="I2" s="15">
        <v>88000.0</v>
      </c>
      <c r="J2" s="15">
        <v>88000.0</v>
      </c>
      <c r="K2" s="15">
        <v>88000.0</v>
      </c>
      <c r="L2" s="15">
        <v>85000.0</v>
      </c>
      <c r="M2" s="15">
        <v>115000.0</v>
      </c>
      <c r="N2" s="15">
        <v>115000.0</v>
      </c>
      <c r="O2" s="15">
        <v>115000.0</v>
      </c>
    </row>
    <row r="3">
      <c r="A3" s="12" t="s">
        <v>42</v>
      </c>
      <c r="B3" s="16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</row>
    <row r="4">
      <c r="A4" s="10" t="s">
        <v>43</v>
      </c>
      <c r="B4" s="4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</row>
    <row r="5">
      <c r="A5" s="10" t="s">
        <v>44</v>
      </c>
      <c r="B5" s="15">
        <v>0.0</v>
      </c>
      <c r="C5" s="3">
        <v>10000.0</v>
      </c>
      <c r="D5" s="4">
        <v>10000.0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</row>
    <row r="6">
      <c r="A6" s="10" t="s">
        <v>45</v>
      </c>
      <c r="B6" s="4">
        <v>38000.0</v>
      </c>
      <c r="C6" s="4">
        <v>40000.0</v>
      </c>
      <c r="D6" s="4">
        <v>40000.0</v>
      </c>
      <c r="E6" s="4">
        <v>40000.0</v>
      </c>
      <c r="F6" s="4">
        <v>40000.0</v>
      </c>
      <c r="G6" s="4">
        <v>40000.0</v>
      </c>
      <c r="H6" s="4">
        <v>40000.0</v>
      </c>
      <c r="I6" s="15">
        <v>45000.0</v>
      </c>
      <c r="J6" s="15">
        <v>45000.0</v>
      </c>
      <c r="K6" s="15">
        <v>45000.0</v>
      </c>
      <c r="L6" s="15">
        <v>45000.0</v>
      </c>
      <c r="M6" s="15">
        <v>45000.0</v>
      </c>
      <c r="N6" s="15">
        <v>45000.0</v>
      </c>
      <c r="O6" s="15">
        <v>45000.0</v>
      </c>
    </row>
    <row r="7">
      <c r="A7" s="10" t="s">
        <v>46</v>
      </c>
      <c r="B7" s="4">
        <v>12000.0</v>
      </c>
      <c r="C7" s="4">
        <v>12000.0</v>
      </c>
      <c r="D7" s="4">
        <v>12000.0</v>
      </c>
      <c r="E7" s="4">
        <v>12000.0</v>
      </c>
      <c r="F7" s="4">
        <v>12000.0</v>
      </c>
      <c r="G7" s="4">
        <v>12000.0</v>
      </c>
      <c r="H7" s="4">
        <v>12000.0</v>
      </c>
      <c r="I7" s="4">
        <v>12000.0</v>
      </c>
      <c r="J7" s="4">
        <v>12000.0</v>
      </c>
      <c r="K7" s="4">
        <v>12000.0</v>
      </c>
      <c r="L7" s="4">
        <v>12000.0</v>
      </c>
      <c r="M7" s="4">
        <v>12000.0</v>
      </c>
      <c r="N7" s="4">
        <v>12000.0</v>
      </c>
      <c r="O7" s="4">
        <v>12000.0</v>
      </c>
    </row>
    <row r="8">
      <c r="A8" s="10" t="s">
        <v>47</v>
      </c>
      <c r="B8" s="4">
        <v>5500.0</v>
      </c>
      <c r="C8" s="4">
        <v>5500.0</v>
      </c>
      <c r="D8" s="4">
        <v>5500.0</v>
      </c>
      <c r="E8" s="4">
        <v>5500.0</v>
      </c>
      <c r="F8" s="4">
        <v>5500.0</v>
      </c>
      <c r="G8" s="4">
        <v>5500.0</v>
      </c>
      <c r="H8" s="4">
        <v>5500.0</v>
      </c>
      <c r="I8" s="4">
        <v>5500.0</v>
      </c>
      <c r="J8" s="4">
        <v>5500.0</v>
      </c>
      <c r="K8" s="4">
        <v>5500.0</v>
      </c>
      <c r="L8" s="4">
        <v>5500.0</v>
      </c>
      <c r="M8" s="4">
        <v>5500.0</v>
      </c>
      <c r="N8" s="4">
        <v>5500.0</v>
      </c>
      <c r="O8" s="4">
        <v>5500.0</v>
      </c>
    </row>
    <row r="9">
      <c r="A9" s="10" t="s">
        <v>48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</row>
    <row r="10">
      <c r="A10" s="12" t="s">
        <v>49</v>
      </c>
      <c r="B10" s="17">
        <v>0.0</v>
      </c>
      <c r="C10" s="10"/>
      <c r="D10" s="10"/>
      <c r="E10" s="10"/>
      <c r="F10" s="10"/>
      <c r="G10" s="10"/>
      <c r="H10" s="10"/>
    </row>
    <row r="11">
      <c r="A11" s="11" t="s">
        <v>50</v>
      </c>
      <c r="B11" s="4">
        <v>0.0</v>
      </c>
      <c r="C11" s="4">
        <v>40000.0</v>
      </c>
      <c r="D11" s="4">
        <v>40000.0</v>
      </c>
      <c r="E11" s="4">
        <v>40000.0</v>
      </c>
      <c r="F11" s="4">
        <v>40000.0</v>
      </c>
      <c r="G11" s="4">
        <v>40000.0</v>
      </c>
      <c r="H11" s="4">
        <v>40000.0</v>
      </c>
      <c r="I11" s="4">
        <v>40000.0</v>
      </c>
      <c r="J11" s="4">
        <v>40000.0</v>
      </c>
      <c r="K11" s="4">
        <v>40000.0</v>
      </c>
      <c r="L11" s="4">
        <v>40000.0</v>
      </c>
      <c r="M11" s="4">
        <v>40000.0</v>
      </c>
      <c r="N11" s="4">
        <v>40000.0</v>
      </c>
      <c r="O11" s="4">
        <v>40000.0</v>
      </c>
    </row>
    <row r="12">
      <c r="A12" s="11" t="s">
        <v>51</v>
      </c>
      <c r="B12" s="12">
        <v>0.0</v>
      </c>
      <c r="C12" s="12">
        <v>24000.0</v>
      </c>
      <c r="D12" s="12">
        <v>24000.0</v>
      </c>
      <c r="E12" s="12">
        <v>24000.0</v>
      </c>
      <c r="F12" s="12">
        <v>24000.0</v>
      </c>
      <c r="G12" s="12">
        <v>24000.0</v>
      </c>
      <c r="H12" s="12">
        <v>24000.0</v>
      </c>
      <c r="I12" s="12">
        <v>24000.0</v>
      </c>
      <c r="J12" s="12">
        <v>24000.0</v>
      </c>
      <c r="K12" s="12">
        <v>24000.0</v>
      </c>
      <c r="L12" s="12">
        <v>24000.0</v>
      </c>
      <c r="M12" s="12">
        <v>24000.0</v>
      </c>
      <c r="N12" s="12">
        <v>24000.0</v>
      </c>
      <c r="O12" s="12">
        <v>24000.0</v>
      </c>
    </row>
    <row r="13">
      <c r="A13" s="11" t="s">
        <v>52</v>
      </c>
      <c r="B13" s="10"/>
      <c r="C13" s="10"/>
      <c r="D13" s="12"/>
      <c r="E13" s="10"/>
      <c r="F13" s="10"/>
      <c r="G13" s="10"/>
      <c r="H13" s="10"/>
    </row>
    <row r="14">
      <c r="A14" s="11" t="s">
        <v>53</v>
      </c>
      <c r="B14" s="10"/>
      <c r="C14" s="12">
        <v>25000.0</v>
      </c>
      <c r="D14" s="12">
        <v>25000.0</v>
      </c>
      <c r="E14" s="10"/>
      <c r="F14" s="10"/>
      <c r="G14" s="10"/>
      <c r="H14" s="10"/>
    </row>
    <row r="15">
      <c r="A15" s="1"/>
      <c r="B15" s="10"/>
      <c r="C15" s="10"/>
      <c r="D15" s="10"/>
      <c r="E15" s="10"/>
      <c r="F15" s="10"/>
      <c r="G15" s="10"/>
      <c r="H15" s="10"/>
    </row>
    <row r="16">
      <c r="A16" s="1"/>
      <c r="B16" s="10"/>
      <c r="C16" s="10"/>
      <c r="D16" s="10"/>
      <c r="E16" s="10"/>
      <c r="F16" s="10"/>
      <c r="G16" s="10"/>
      <c r="H16" s="10"/>
    </row>
    <row r="17">
      <c r="A17" s="1" t="s">
        <v>13</v>
      </c>
      <c r="B17" s="3">
        <f t="shared" ref="B17:O17" si="1">SUM(B2:B16)</f>
        <v>55500</v>
      </c>
      <c r="C17" s="3">
        <f t="shared" si="1"/>
        <v>251500</v>
      </c>
      <c r="D17" s="3">
        <f t="shared" si="1"/>
        <v>246500</v>
      </c>
      <c r="E17" s="3">
        <f t="shared" si="1"/>
        <v>211500</v>
      </c>
      <c r="F17" s="3">
        <f t="shared" si="1"/>
        <v>211500</v>
      </c>
      <c r="G17" s="3">
        <f t="shared" si="1"/>
        <v>211500</v>
      </c>
      <c r="H17" s="3">
        <f t="shared" si="1"/>
        <v>211500</v>
      </c>
      <c r="I17" s="3">
        <f t="shared" si="1"/>
        <v>214500</v>
      </c>
      <c r="J17" s="3">
        <f t="shared" si="1"/>
        <v>214500</v>
      </c>
      <c r="K17" s="3">
        <f t="shared" si="1"/>
        <v>214500</v>
      </c>
      <c r="L17" s="3">
        <f t="shared" si="1"/>
        <v>211500</v>
      </c>
      <c r="M17" s="3">
        <f t="shared" si="1"/>
        <v>241500</v>
      </c>
      <c r="N17" s="3">
        <f t="shared" si="1"/>
        <v>241500</v>
      </c>
      <c r="O17" s="3">
        <f t="shared" si="1"/>
        <v>241500</v>
      </c>
    </row>
  </sheetData>
  <drawing r:id="rId1"/>
</worksheet>
</file>